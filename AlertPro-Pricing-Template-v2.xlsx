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13_ncr:1_{5D0D8285-67D3-435B-9D8A-128135788821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AlertPro Pri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H16" i="1"/>
  <c r="G16" i="1"/>
  <c r="F16" i="1"/>
  <c r="E16" i="1"/>
  <c r="E18" i="1" s="1"/>
  <c r="D16" i="1"/>
  <c r="D18" i="1" s="1"/>
  <c r="J15" i="1"/>
  <c r="J17" i="1" s="1"/>
  <c r="J19" i="1" s="1"/>
  <c r="J27" i="1" s="1"/>
  <c r="I15" i="1"/>
  <c r="I17" i="1" s="1"/>
  <c r="I19" i="1" s="1"/>
  <c r="I27" i="1" s="1"/>
  <c r="H15" i="1"/>
  <c r="G15" i="1"/>
  <c r="F15" i="1"/>
  <c r="E15" i="1"/>
  <c r="D15" i="1"/>
  <c r="F19" i="1" l="1"/>
  <c r="F27" i="1" s="1"/>
  <c r="F18" i="1"/>
  <c r="F20" i="1" s="1"/>
  <c r="F28" i="1" s="1"/>
  <c r="G18" i="1"/>
  <c r="G20" i="1" s="1"/>
  <c r="G28" i="1" s="1"/>
  <c r="H18" i="1"/>
  <c r="H20" i="1" s="1"/>
  <c r="H28" i="1" s="1"/>
  <c r="D17" i="1"/>
  <c r="D19" i="1" s="1"/>
  <c r="I18" i="1"/>
  <c r="I20" i="1" s="1"/>
  <c r="I28" i="1" s="1"/>
  <c r="E17" i="1"/>
  <c r="E19" i="1" s="1"/>
  <c r="J18" i="1"/>
  <c r="J20" i="1" s="1"/>
  <c r="J28" i="1" s="1"/>
  <c r="F17" i="1"/>
  <c r="G17" i="1"/>
  <c r="G19" i="1" s="1"/>
  <c r="G27" i="1" s="1"/>
  <c r="H17" i="1"/>
  <c r="H19" i="1" s="1"/>
  <c r="H27" i="1" s="1"/>
  <c r="D27" i="1" l="1"/>
  <c r="D20" i="1"/>
  <c r="D28" i="1" s="1"/>
  <c r="E27" i="1"/>
  <c r="E20" i="1"/>
  <c r="E28" i="1" s="1"/>
</calcChain>
</file>

<file path=xl/sharedStrings.xml><?xml version="1.0" encoding="utf-8"?>
<sst xmlns="http://schemas.openxmlformats.org/spreadsheetml/2006/main" count="97" uniqueCount="76">
  <si>
    <t>ALERT PRO — PRICING TEMPLATE</t>
  </si>
  <si>
    <t>🟡 Yellow cells = your inputs   |   Gray cells = auto-calculated   |   One column per package</t>
  </si>
  <si>
    <t>MSRP</t>
  </si>
  <si>
    <t>Default Cost</t>
  </si>
  <si>
    <t>Resi Secure
5 Year</t>
  </si>
  <si>
    <t>Resi Secure
3 Year</t>
  </si>
  <si>
    <t>Resi Secure + Video
5 Year</t>
  </si>
  <si>
    <t>Resi Secure + Video
3 Year</t>
  </si>
  <si>
    <t>Video + Auto
5 Year</t>
  </si>
  <si>
    <t>Video + Auto
3 Year</t>
  </si>
  <si>
    <t>Commercial
3 Year</t>
  </si>
  <si>
    <t xml:space="preserve">  SECTION 1 — BASE SYSTEM ITEMS  (costs per package, including installation)</t>
  </si>
  <si>
    <t>Item</t>
  </si>
  <si>
    <t>Agent Cost (default)</t>
  </si>
  <si>
    <t>IQ 4 Panel w/ 4K Keypad Camera, Siren, GSM</t>
  </si>
  <si>
    <t>Door Contact — Long Range (×2)</t>
  </si>
  <si>
    <t>Motion Sensor — Long Range</t>
  </si>
  <si>
    <t>Smart Plug</t>
  </si>
  <si>
    <t>—</t>
  </si>
  <si>
    <t xml:space="preserve">  ↓ CAMERA SELECTION — Agent chooses Indoor or Outdoor per deal (set both prices below)</t>
  </si>
  <si>
    <t>Camera — Indoor (Easy Installation, price includes install)</t>
  </si>
  <si>
    <t>Camera — Outdoor (Pro Installation, price includes install)</t>
  </si>
  <si>
    <t>Installation Fee  (your cost, baked into base system)</t>
  </si>
  <si>
    <t xml:space="preserve">  Base Subtotal (before HST, indoor camera default)</t>
  </si>
  <si>
    <t xml:space="preserve">  Base Subtotal (before HST, outdoor camera)</t>
  </si>
  <si>
    <t xml:space="preserve">  HST 13% (indoor)</t>
  </si>
  <si>
    <t xml:space="preserve">  HST 13% (outdoor)</t>
  </si>
  <si>
    <t xml:space="preserve">  ✅ BASE TOTAL WITH HST — Indoor Camera</t>
  </si>
  <si>
    <t xml:space="preserve">  ✅ BASE TOTAL WITH HST — Outdoor Camera</t>
  </si>
  <si>
    <t xml:space="preserve">  SECTION 2 — MONITORING PACKAGES</t>
  </si>
  <si>
    <t xml:space="preserve">  Monthly Rate (agent sees this)</t>
  </si>
  <si>
    <t xml:space="preserve">  Funding Multiple</t>
  </si>
  <si>
    <t xml:space="preserve">  Suggested Install Collected from Customer</t>
  </si>
  <si>
    <t xml:space="preserve">  Net Funding — Indoor Camera  (gross + install collected − base total indoor)</t>
  </si>
  <si>
    <t xml:space="preserve">  Net Funding — Outdoor Camera  (gross + install collected − base total outdoor)</t>
  </si>
  <si>
    <t xml:space="preserve">  SECTION 3 — ADD-ON HARDWARE  (agents set their own sell price; they keep 75% of markup)</t>
  </si>
  <si>
    <t>Note</t>
  </si>
  <si>
    <t>MSRP (ceiling)</t>
  </si>
  <si>
    <t>Agent Cost</t>
  </si>
  <si>
    <t>Carbon Monoxide Detector (Wireless)</t>
  </si>
  <si>
    <t>Long Range</t>
  </si>
  <si>
    <t>Door/Window Contact (Wireless)</t>
  </si>
  <si>
    <t>Regular Range</t>
  </si>
  <si>
    <t>Flood Detector (Wireless)</t>
  </si>
  <si>
    <t>Glassbreak Detector (Wireless)</t>
  </si>
  <si>
    <t>Indoor Portable Camera</t>
  </si>
  <si>
    <t>Residential / Commercial</t>
  </si>
  <si>
    <t>Indoor Siren with Strobe Light</t>
  </si>
  <si>
    <t>IQ4 Table Stand</t>
  </si>
  <si>
    <t>IQ Remote Touch Screen Keypad</t>
  </si>
  <si>
    <t>7 inch</t>
  </si>
  <si>
    <t>Keyfob 4-Button (Wireless PG)</t>
  </si>
  <si>
    <t>Arm/Disarm/Stay/Panic</t>
  </si>
  <si>
    <t>Motion Sensor (Wireless)</t>
  </si>
  <si>
    <t>Pet Immune 40lbs / Reg</t>
  </si>
  <si>
    <t>Pet Immune 80lbs / Long</t>
  </si>
  <si>
    <t>Ceiling Mount 360°</t>
  </si>
  <si>
    <t>Outdoor Camera Fixed WiFi</t>
  </si>
  <si>
    <t>Driveway / 2.4G+5G</t>
  </si>
  <si>
    <t>Outdoor Contact (Wireless)</t>
  </si>
  <si>
    <t>Outdoor Siren with Strobe Light</t>
  </si>
  <si>
    <t>Commercial Grade 110dB</t>
  </si>
  <si>
    <t>Panic Button (Wireless)</t>
  </si>
  <si>
    <t>Rate of Rise Heat Detector (Wireless)</t>
  </si>
  <si>
    <t>Repeater Module</t>
  </si>
  <si>
    <t>Residential Outdoor Camera</t>
  </si>
  <si>
    <t>Easy Installation</t>
  </si>
  <si>
    <t>Residential/Commercial Outdoor Camera</t>
  </si>
  <si>
    <t>Pro Installation</t>
  </si>
  <si>
    <t>Residential Video Doorbell</t>
  </si>
  <si>
    <t>Shock Sensor (Wireless)</t>
  </si>
  <si>
    <t>Smoke Detector (Wireless)</t>
  </si>
  <si>
    <t>Temperature Detector (Wireless)</t>
  </si>
  <si>
    <t>Tilt Sensor (Wireless)</t>
  </si>
  <si>
    <t>Garage Rollup Doors</t>
  </si>
  <si>
    <t xml:space="preserve">  🟡 Yellow = your inputs  |  Gray = auto-calculated  |  Indoor &amp; Outdoor base totals both exported — agent portal picks correct one based on camera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</si>
</sst>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9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6B7280"/>
      <name val="Arial"/>
    </font>
    <font>
      <b/>
      <sz val="9"/>
      <color rgb="FFFFFFFF"/>
      <name val="Arial"/>
    </font>
    <font>
      <b/>
      <sz val="8"/>
      <color rgb="FFB45309"/>
      <name val="Arial"/>
    </font>
    <font>
      <b/>
      <sz val="8"/>
      <color rgb="FF1D4ED8"/>
      <name val="Arial"/>
    </font>
    <font>
      <b/>
      <sz val="10"/>
      <color rgb="FFFFFFFF"/>
      <name val="Arial"/>
    </font>
    <font>
      <b/>
      <sz val="8"/>
      <color rgb="FF6B7280"/>
      <name val="Arial"/>
    </font>
    <font>
      <b/>
      <sz val="10"/>
      <color rgb="FF1A1D23"/>
      <name val="Arial"/>
    </font>
    <font>
      <b/>
      <sz val="10"/>
      <color rgb="FF1D4ED8"/>
      <name val="Arial"/>
    </font>
    <font>
      <b/>
      <sz val="10"/>
      <color rgb="FFC8202A"/>
      <name val="Arial"/>
    </font>
    <font>
      <sz val="10"/>
      <color rgb="FF9CA3AF"/>
      <name val="Arial"/>
    </font>
    <font>
      <i/>
      <sz val="8"/>
      <color rgb="FF1D4ED8"/>
      <name val="Arial"/>
    </font>
    <font>
      <b/>
      <sz val="10"/>
      <color rgb="FF0D7A4E"/>
      <name val="Arial"/>
    </font>
    <font>
      <i/>
      <sz val="10"/>
      <color rgb="FF6B7280"/>
      <name val="Arial"/>
    </font>
    <font>
      <sz val="10"/>
      <color rgb="FF1A1D23"/>
      <name val="Arial"/>
    </font>
    <font>
      <b/>
      <sz val="10"/>
      <color rgb="FFB45309"/>
      <name val="Arial"/>
    </font>
    <font>
      <sz val="10"/>
      <color rgb="FF6B7280"/>
      <name val="Arial"/>
    </font>
    <font>
      <i/>
      <sz val="8"/>
      <color rgb="FF6B7280"/>
      <name val="Arial"/>
    </font>
  </fonts>
  <fills count="11">
    <fill>
      <patternFill patternType="none"/>
    </fill>
    <fill>
      <patternFill patternType="gray125"/>
    </fill>
    <fill>
      <patternFill patternType="solid">
        <fgColor rgb="FFC8202A"/>
      </patternFill>
    </fill>
    <fill>
      <patternFill patternType="solid">
        <fgColor rgb="FFF8F9FB"/>
      </patternFill>
    </fill>
    <fill>
      <patternFill patternType="solid">
        <fgColor rgb="FF1A1D23"/>
      </patternFill>
    </fill>
    <fill>
      <patternFill patternType="solid">
        <fgColor rgb="FFFFFBEB"/>
      </patternFill>
    </fill>
    <fill>
      <patternFill patternType="solid">
        <fgColor rgb="FFEFF6FF"/>
      </patternFill>
    </fill>
    <fill>
      <patternFill patternType="solid">
        <fgColor rgb="FFFFFFF0"/>
      </patternFill>
    </fill>
    <fill>
      <patternFill patternType="solid">
        <fgColor rgb="FFF3F4F6"/>
      </patternFill>
    </fill>
    <fill>
      <patternFill patternType="solid">
        <fgColor rgb="FFECFDF5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 style="thin">
        <color rgb="FFDDE1E8"/>
      </top>
      <bottom style="thin">
        <color rgb="FFDDE1E8"/>
      </bottom>
      <diagonal/>
    </border>
    <border>
      <left style="thin">
        <color rgb="FFDDE1E8"/>
      </left>
      <right style="thin">
        <color rgb="FFDDE1E8"/>
      </right>
      <top style="thin">
        <color rgb="FFDDE1E8"/>
      </top>
      <bottom style="thin">
        <color rgb="FFDDE1E8"/>
      </bottom>
      <diagonal/>
    </border>
    <border>
      <left/>
      <right/>
      <top style="medium">
        <color rgb="FFDDE1E8"/>
      </top>
      <bottom style="thin">
        <color rgb="FFDDE1E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9" fillId="7" borderId="2" xfId="0" applyNumberFormat="1" applyFont="1" applyFill="1" applyBorder="1" applyAlignment="1">
      <alignment horizontal="center" vertical="center"/>
    </xf>
    <xf numFmtId="164" fontId="10" fillId="7" borderId="2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4" fontId="13" fillId="7" borderId="2" xfId="0" applyNumberFormat="1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/>
    </xf>
    <xf numFmtId="164" fontId="13" fillId="9" borderId="3" xfId="0" applyNumberFormat="1" applyFont="1" applyFill="1" applyBorder="1" applyAlignment="1">
      <alignment horizontal="center" vertical="center"/>
    </xf>
    <xf numFmtId="164" fontId="16" fillId="5" borderId="3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165" fontId="10" fillId="7" borderId="2" xfId="0" applyNumberFormat="1" applyFont="1" applyFill="1" applyBorder="1" applyAlignment="1">
      <alignment horizontal="center" vertical="center"/>
    </xf>
    <xf numFmtId="1" fontId="10" fillId="7" borderId="2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17" fillId="10" borderId="1" xfId="0" applyFont="1" applyFill="1" applyBorder="1" applyAlignment="1">
      <alignment horizontal="left" vertical="center"/>
    </xf>
    <xf numFmtId="0" fontId="0" fillId="10" borderId="0" xfId="0" applyFill="1"/>
    <xf numFmtId="0" fontId="8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3" fillId="9" borderId="3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16" fillId="5" borderId="3" xfId="0" applyFont="1" applyFill="1" applyBorder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202A"/>
  </sheetPr>
  <dimension ref="A1:J59"/>
  <sheetViews>
    <sheetView showGridLines="0" tabSelected="1" workbookViewId="0">
      <pane ySplit="3" topLeftCell="A4" activePane="bottomLeft" state="frozen"/>
      <selection pane="bottomLeft" activeCell="C7" sqref="C7:J7"/>
    </sheetView>
  </sheetViews>
  <sheetFormatPr defaultRowHeight="15.05" x14ac:dyDescent="0.3"/>
  <cols>
    <col min="1" max="1" width="40" customWidth="1"/>
    <col min="2" max="2" width="12" customWidth="1"/>
    <col min="3" max="3" width="14" customWidth="1"/>
    <col min="4" max="10" width="15" customWidth="1"/>
  </cols>
  <sheetData>
    <row r="1" spans="1:10" ht="34.049999999999997" customHeigh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6.05" customHeight="1" x14ac:dyDescent="0.3">
      <c r="A2" s="29" t="s">
        <v>1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6.05" customHeight="1" x14ac:dyDescent="0.3"/>
    <row r="4" spans="1:10" ht="28" customHeight="1" x14ac:dyDescent="0.3">
      <c r="A4" s="1"/>
      <c r="B4" s="2" t="s">
        <v>2</v>
      </c>
      <c r="C4" s="2" t="s">
        <v>3</v>
      </c>
      <c r="D4" s="3" t="s">
        <v>4</v>
      </c>
      <c r="E4" s="4" t="s">
        <v>5</v>
      </c>
      <c r="F4" s="3" t="s">
        <v>6</v>
      </c>
      <c r="G4" s="4" t="s">
        <v>7</v>
      </c>
      <c r="H4" s="3" t="s">
        <v>8</v>
      </c>
      <c r="I4" s="4" t="s">
        <v>9</v>
      </c>
      <c r="J4" s="4" t="s">
        <v>10</v>
      </c>
    </row>
    <row r="5" spans="1:10" ht="20" customHeight="1" x14ac:dyDescent="0.3">
      <c r="A5" s="30" t="s">
        <v>11</v>
      </c>
      <c r="B5" s="25"/>
      <c r="C5" s="25"/>
      <c r="D5" s="25"/>
      <c r="E5" s="25"/>
      <c r="F5" s="25"/>
      <c r="G5" s="25"/>
      <c r="H5" s="25"/>
      <c r="I5" s="25"/>
      <c r="J5" s="25"/>
    </row>
    <row r="6" spans="1:10" ht="16.05" customHeight="1" x14ac:dyDescent="0.3">
      <c r="A6" s="5" t="s">
        <v>12</v>
      </c>
      <c r="B6" s="6" t="s">
        <v>2</v>
      </c>
      <c r="C6" s="6" t="s">
        <v>13</v>
      </c>
      <c r="D6" s="6"/>
      <c r="E6" s="6"/>
      <c r="F6" s="6"/>
      <c r="G6" s="6"/>
      <c r="H6" s="6"/>
      <c r="I6" s="6"/>
      <c r="J6" s="6"/>
    </row>
    <row r="7" spans="1:10" ht="18" customHeight="1" x14ac:dyDescent="0.3">
      <c r="A7" s="7" t="s">
        <v>14</v>
      </c>
      <c r="B7" s="8">
        <v>850</v>
      </c>
      <c r="C7" s="9">
        <v>533.25</v>
      </c>
      <c r="D7" s="9">
        <v>533.25</v>
      </c>
      <c r="E7" s="9">
        <v>533.25</v>
      </c>
      <c r="F7" s="9">
        <v>533.25</v>
      </c>
      <c r="G7" s="9">
        <v>533.25</v>
      </c>
      <c r="H7" s="9">
        <v>533.25</v>
      </c>
      <c r="I7" s="9">
        <v>533.25</v>
      </c>
      <c r="J7" s="9">
        <v>533.25</v>
      </c>
    </row>
    <row r="8" spans="1:10" ht="18" customHeight="1" x14ac:dyDescent="0.3">
      <c r="A8" s="7" t="s">
        <v>15</v>
      </c>
      <c r="B8" s="8">
        <v>130</v>
      </c>
      <c r="C8" s="9">
        <v>105.3</v>
      </c>
      <c r="D8" s="9">
        <v>105.3</v>
      </c>
      <c r="E8" s="9">
        <v>105.3</v>
      </c>
      <c r="F8" s="9">
        <v>105.3</v>
      </c>
      <c r="G8" s="9">
        <v>105.3</v>
      </c>
      <c r="H8" s="9">
        <v>105.3</v>
      </c>
      <c r="I8" s="9">
        <v>105.3</v>
      </c>
      <c r="J8" s="9">
        <v>105.3</v>
      </c>
    </row>
    <row r="9" spans="1:10" ht="18" customHeight="1" x14ac:dyDescent="0.3">
      <c r="A9" s="7" t="s">
        <v>16</v>
      </c>
      <c r="B9" s="8">
        <v>190</v>
      </c>
      <c r="C9" s="9">
        <v>87.75</v>
      </c>
      <c r="D9" s="9">
        <v>87.75</v>
      </c>
      <c r="E9" s="9">
        <v>87.75</v>
      </c>
      <c r="F9" s="9">
        <v>87.75</v>
      </c>
      <c r="G9" s="9">
        <v>87.75</v>
      </c>
      <c r="H9" s="9">
        <v>87.75</v>
      </c>
      <c r="I9" s="9">
        <v>87.75</v>
      </c>
      <c r="J9" s="9">
        <v>87.75</v>
      </c>
    </row>
    <row r="10" spans="1:10" ht="18" customHeight="1" x14ac:dyDescent="0.3">
      <c r="A10" s="7" t="s">
        <v>17</v>
      </c>
      <c r="B10" s="8">
        <v>60</v>
      </c>
      <c r="C10" s="9">
        <v>59.39</v>
      </c>
      <c r="D10" s="10" t="s">
        <v>18</v>
      </c>
      <c r="E10" s="10" t="s">
        <v>18</v>
      </c>
      <c r="F10" s="10" t="s">
        <v>18</v>
      </c>
      <c r="G10" s="10" t="s">
        <v>18</v>
      </c>
      <c r="H10" s="9">
        <v>59.39</v>
      </c>
      <c r="I10" s="9">
        <v>59.39</v>
      </c>
      <c r="J10" s="10" t="s">
        <v>18</v>
      </c>
    </row>
    <row r="11" spans="1:10" ht="18" customHeight="1" x14ac:dyDescent="0.3">
      <c r="A11" s="33" t="s">
        <v>19</v>
      </c>
      <c r="B11" s="25"/>
      <c r="C11" s="25"/>
      <c r="D11" s="25"/>
      <c r="E11" s="25"/>
      <c r="F11" s="25"/>
      <c r="G11" s="25"/>
      <c r="H11" s="25"/>
      <c r="I11" s="25"/>
      <c r="J11" s="25"/>
    </row>
    <row r="12" spans="1:10" ht="18" customHeight="1" x14ac:dyDescent="0.3">
      <c r="A12" s="7" t="s">
        <v>20</v>
      </c>
      <c r="B12" s="8">
        <v>350</v>
      </c>
      <c r="C12" s="9">
        <v>187</v>
      </c>
      <c r="D12" s="10" t="s">
        <v>18</v>
      </c>
      <c r="E12" s="10" t="s">
        <v>18</v>
      </c>
      <c r="F12" s="9">
        <v>187</v>
      </c>
      <c r="G12" s="9">
        <v>187</v>
      </c>
      <c r="H12" s="9">
        <v>187</v>
      </c>
      <c r="I12" s="9">
        <v>187</v>
      </c>
      <c r="J12" s="9">
        <v>187</v>
      </c>
    </row>
    <row r="13" spans="1:10" ht="18" customHeight="1" x14ac:dyDescent="0.3">
      <c r="A13" s="7" t="s">
        <v>21</v>
      </c>
      <c r="B13" s="8">
        <v>620</v>
      </c>
      <c r="C13" s="9">
        <v>395.55</v>
      </c>
      <c r="D13" s="10" t="s">
        <v>18</v>
      </c>
      <c r="E13" s="10" t="s">
        <v>18</v>
      </c>
      <c r="F13" s="9">
        <v>395.55</v>
      </c>
      <c r="G13" s="9">
        <v>395.55</v>
      </c>
      <c r="H13" s="9">
        <v>395.55</v>
      </c>
      <c r="I13" s="9">
        <v>395.55</v>
      </c>
      <c r="J13" s="9">
        <v>395.55</v>
      </c>
    </row>
    <row r="14" spans="1:10" ht="18" customHeight="1" x14ac:dyDescent="0.3">
      <c r="A14" s="34" t="s">
        <v>22</v>
      </c>
      <c r="B14" s="25"/>
      <c r="C14" s="25"/>
      <c r="D14" s="11">
        <v>150</v>
      </c>
      <c r="E14" s="11">
        <v>150</v>
      </c>
      <c r="F14" s="11">
        <v>175</v>
      </c>
      <c r="G14" s="11">
        <v>175</v>
      </c>
      <c r="H14" s="11">
        <v>200</v>
      </c>
      <c r="I14" s="11">
        <v>200</v>
      </c>
      <c r="J14" s="11">
        <v>150</v>
      </c>
    </row>
    <row r="15" spans="1:10" ht="18" customHeight="1" x14ac:dyDescent="0.3">
      <c r="A15" s="27" t="s">
        <v>23</v>
      </c>
      <c r="B15" s="25"/>
      <c r="C15" s="25"/>
      <c r="D15" s="12">
        <f>ROUND(D7+D8+D9+D14,2)</f>
        <v>876.3</v>
      </c>
      <c r="E15" s="12">
        <f>ROUND(E7+E8+E9+E14,2)</f>
        <v>876.3</v>
      </c>
      <c r="F15" s="12">
        <f>ROUND(F7+F8+F9+F12+F14,2)</f>
        <v>1088.3</v>
      </c>
      <c r="G15" s="12">
        <f>ROUND(G7+G8+G9+G12+G14,2)</f>
        <v>1088.3</v>
      </c>
      <c r="H15" s="12">
        <f>ROUND(H7+H8+H9+H10+H12+H14,2)</f>
        <v>1172.69</v>
      </c>
      <c r="I15" s="12">
        <f>ROUND(I7+I8+I9+I10+I12+I14,2)</f>
        <v>1172.69</v>
      </c>
      <c r="J15" s="12">
        <f>ROUND(J7+J8+J9+J12+J14,2)</f>
        <v>1063.3</v>
      </c>
    </row>
    <row r="16" spans="1:10" ht="18" customHeight="1" x14ac:dyDescent="0.3">
      <c r="A16" s="27" t="s">
        <v>24</v>
      </c>
      <c r="B16" s="25"/>
      <c r="C16" s="25"/>
      <c r="D16" s="12">
        <f>ROUND(D7+D8+D9+D14,2)</f>
        <v>876.3</v>
      </c>
      <c r="E16" s="12">
        <f>ROUND(E7+E8+E9+E14,2)</f>
        <v>876.3</v>
      </c>
      <c r="F16" s="12">
        <f>ROUND(F7+F8+F9+F13+F14,2)</f>
        <v>1296.8499999999999</v>
      </c>
      <c r="G16" s="12">
        <f>ROUND(G7+G8+G9+G13+G14,2)</f>
        <v>1296.8499999999999</v>
      </c>
      <c r="H16" s="12">
        <f>ROUND(H7+H8+H9+H10+H13+H14,2)</f>
        <v>1381.24</v>
      </c>
      <c r="I16" s="12">
        <f>ROUND(I7+I8+I9+I10+I13+I14,2)</f>
        <v>1381.24</v>
      </c>
      <c r="J16" s="12">
        <f>ROUND(J7+J8+J9+J13+J14,2)</f>
        <v>1271.8499999999999</v>
      </c>
    </row>
    <row r="17" spans="1:10" ht="18" customHeight="1" x14ac:dyDescent="0.3">
      <c r="A17" s="27" t="s">
        <v>25</v>
      </c>
      <c r="B17" s="25"/>
      <c r="C17" s="25"/>
      <c r="D17" s="12">
        <f t="shared" ref="D17:J18" si="0">ROUND(D15*0.13,2)</f>
        <v>113.92</v>
      </c>
      <c r="E17" s="12">
        <f t="shared" si="0"/>
        <v>113.92</v>
      </c>
      <c r="F17" s="12">
        <f t="shared" si="0"/>
        <v>141.47999999999999</v>
      </c>
      <c r="G17" s="12">
        <f t="shared" si="0"/>
        <v>141.47999999999999</v>
      </c>
      <c r="H17" s="12">
        <f t="shared" si="0"/>
        <v>152.44999999999999</v>
      </c>
      <c r="I17" s="12">
        <f t="shared" si="0"/>
        <v>152.44999999999999</v>
      </c>
      <c r="J17" s="12">
        <f t="shared" si="0"/>
        <v>138.22999999999999</v>
      </c>
    </row>
    <row r="18" spans="1:10" ht="18" customHeight="1" x14ac:dyDescent="0.3">
      <c r="A18" s="27" t="s">
        <v>26</v>
      </c>
      <c r="B18" s="25"/>
      <c r="C18" s="25"/>
      <c r="D18" s="12">
        <f t="shared" si="0"/>
        <v>113.92</v>
      </c>
      <c r="E18" s="12">
        <f t="shared" si="0"/>
        <v>113.92</v>
      </c>
      <c r="F18" s="12">
        <f t="shared" si="0"/>
        <v>168.59</v>
      </c>
      <c r="G18" s="12">
        <f t="shared" si="0"/>
        <v>168.59</v>
      </c>
      <c r="H18" s="12">
        <f t="shared" si="0"/>
        <v>179.56</v>
      </c>
      <c r="I18" s="12">
        <f t="shared" si="0"/>
        <v>179.56</v>
      </c>
      <c r="J18" s="12">
        <f t="shared" si="0"/>
        <v>165.34</v>
      </c>
    </row>
    <row r="19" spans="1:10" ht="20" customHeight="1" x14ac:dyDescent="0.3">
      <c r="A19" s="26" t="s">
        <v>27</v>
      </c>
      <c r="B19" s="25"/>
      <c r="C19" s="25"/>
      <c r="D19" s="13">
        <f t="shared" ref="D19:J19" si="1">D15+D17</f>
        <v>990.21999999999991</v>
      </c>
      <c r="E19" s="13">
        <f t="shared" si="1"/>
        <v>990.21999999999991</v>
      </c>
      <c r="F19" s="13">
        <f t="shared" si="1"/>
        <v>1229.78</v>
      </c>
      <c r="G19" s="13">
        <f t="shared" si="1"/>
        <v>1229.78</v>
      </c>
      <c r="H19" s="13">
        <f t="shared" si="1"/>
        <v>1325.14</v>
      </c>
      <c r="I19" s="13">
        <f t="shared" si="1"/>
        <v>1325.14</v>
      </c>
      <c r="J19" s="13">
        <f t="shared" si="1"/>
        <v>1201.53</v>
      </c>
    </row>
    <row r="20" spans="1:10" ht="20" customHeight="1" x14ac:dyDescent="0.3">
      <c r="A20" s="32" t="s">
        <v>28</v>
      </c>
      <c r="B20" s="25"/>
      <c r="C20" s="25"/>
      <c r="D20" s="14">
        <f>D19</f>
        <v>990.21999999999991</v>
      </c>
      <c r="E20" s="14">
        <f>E19</f>
        <v>990.21999999999991</v>
      </c>
      <c r="F20" s="14">
        <f>F16+F18</f>
        <v>1465.4399999999998</v>
      </c>
      <c r="G20" s="14">
        <f>G16+G18</f>
        <v>1465.4399999999998</v>
      </c>
      <c r="H20" s="14">
        <f>H16+H18</f>
        <v>1560.8</v>
      </c>
      <c r="I20" s="14">
        <f>I16+I18</f>
        <v>1560.8</v>
      </c>
      <c r="J20" s="14">
        <f>J16+J18</f>
        <v>1437.1899999999998</v>
      </c>
    </row>
    <row r="21" spans="1:10" ht="6.05" customHeight="1" x14ac:dyDescent="0.3"/>
    <row r="22" spans="1:10" ht="20" customHeight="1" x14ac:dyDescent="0.3">
      <c r="A22" s="30" t="s">
        <v>29</v>
      </c>
      <c r="B22" s="25"/>
      <c r="C22" s="25"/>
      <c r="D22" s="25"/>
      <c r="E22" s="25"/>
      <c r="F22" s="25"/>
      <c r="G22" s="25"/>
      <c r="H22" s="25"/>
      <c r="I22" s="25"/>
      <c r="J22" s="25"/>
    </row>
    <row r="23" spans="1:10" ht="16.0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8" customHeight="1" x14ac:dyDescent="0.3">
      <c r="A24" s="28" t="s">
        <v>30</v>
      </c>
      <c r="B24" s="25"/>
      <c r="C24" s="25"/>
      <c r="D24" s="16">
        <v>45</v>
      </c>
      <c r="E24" s="16">
        <v>50</v>
      </c>
      <c r="F24" s="16">
        <v>55</v>
      </c>
      <c r="G24" s="16">
        <v>60</v>
      </c>
      <c r="H24" s="16">
        <v>62</v>
      </c>
      <c r="I24" s="16">
        <v>67</v>
      </c>
      <c r="J24" s="16">
        <v>45</v>
      </c>
    </row>
    <row r="25" spans="1:10" ht="18" customHeight="1" x14ac:dyDescent="0.3">
      <c r="A25" s="28" t="s">
        <v>31</v>
      </c>
      <c r="B25" s="25"/>
      <c r="C25" s="25"/>
      <c r="D25" s="17">
        <v>23</v>
      </c>
      <c r="E25" s="17">
        <v>17</v>
      </c>
      <c r="F25" s="17">
        <v>26</v>
      </c>
      <c r="G25" s="17">
        <v>20</v>
      </c>
      <c r="H25" s="17">
        <v>26</v>
      </c>
      <c r="I25" s="17">
        <v>20</v>
      </c>
      <c r="J25" s="17">
        <v>19</v>
      </c>
    </row>
    <row r="26" spans="1:10" ht="18" customHeight="1" x14ac:dyDescent="0.3">
      <c r="A26" s="28" t="s">
        <v>32</v>
      </c>
      <c r="B26" s="25"/>
      <c r="C26" s="25"/>
      <c r="D26" s="16">
        <v>199</v>
      </c>
      <c r="E26" s="16">
        <v>199</v>
      </c>
      <c r="F26" s="16">
        <v>249</v>
      </c>
      <c r="G26" s="16">
        <v>249</v>
      </c>
      <c r="H26" s="16">
        <v>299</v>
      </c>
      <c r="I26" s="16">
        <v>299</v>
      </c>
      <c r="J26" s="16">
        <v>399</v>
      </c>
    </row>
    <row r="27" spans="1:10" ht="20" customHeight="1" x14ac:dyDescent="0.3">
      <c r="A27" s="26" t="s">
        <v>33</v>
      </c>
      <c r="B27" s="25"/>
      <c r="C27" s="25"/>
      <c r="D27" s="13">
        <f t="shared" ref="D27:J27" si="2">ROUND(D24*D25+D26-D19,2)</f>
        <v>243.78</v>
      </c>
      <c r="E27" s="13">
        <f t="shared" si="2"/>
        <v>58.78</v>
      </c>
      <c r="F27" s="13">
        <f t="shared" si="2"/>
        <v>449.22</v>
      </c>
      <c r="G27" s="13">
        <f t="shared" si="2"/>
        <v>219.22</v>
      </c>
      <c r="H27" s="13">
        <f t="shared" si="2"/>
        <v>585.86</v>
      </c>
      <c r="I27" s="13">
        <f t="shared" si="2"/>
        <v>313.86</v>
      </c>
      <c r="J27" s="13">
        <f t="shared" si="2"/>
        <v>52.47</v>
      </c>
    </row>
    <row r="28" spans="1:10" ht="20" customHeight="1" x14ac:dyDescent="0.3">
      <c r="A28" s="32" t="s">
        <v>34</v>
      </c>
      <c r="B28" s="25"/>
      <c r="C28" s="25"/>
      <c r="D28" s="14">
        <f t="shared" ref="D28:J28" si="3">ROUND(D24*D25+D26-D20,2)</f>
        <v>243.78</v>
      </c>
      <c r="E28" s="14">
        <f t="shared" si="3"/>
        <v>58.78</v>
      </c>
      <c r="F28" s="14">
        <f t="shared" si="3"/>
        <v>213.56</v>
      </c>
      <c r="G28" s="14">
        <f t="shared" si="3"/>
        <v>-16.440000000000001</v>
      </c>
      <c r="H28" s="14">
        <f t="shared" si="3"/>
        <v>350.2</v>
      </c>
      <c r="I28" s="14">
        <f t="shared" si="3"/>
        <v>78.2</v>
      </c>
      <c r="J28" s="14">
        <f t="shared" si="3"/>
        <v>-183.19</v>
      </c>
    </row>
    <row r="29" spans="1:10" ht="6.05" customHeight="1" x14ac:dyDescent="0.3"/>
    <row r="30" spans="1:10" ht="20" customHeight="1" x14ac:dyDescent="0.3">
      <c r="A30" s="30" t="s">
        <v>35</v>
      </c>
      <c r="B30" s="25"/>
      <c r="C30" s="25"/>
      <c r="D30" s="25"/>
      <c r="E30" s="25"/>
      <c r="F30" s="25"/>
      <c r="G30" s="25"/>
      <c r="H30" s="25"/>
      <c r="I30" s="25"/>
      <c r="J30" s="25"/>
    </row>
    <row r="31" spans="1:10" ht="16.05" customHeight="1" x14ac:dyDescent="0.3">
      <c r="A31" s="5" t="s">
        <v>12</v>
      </c>
      <c r="B31" s="5" t="s">
        <v>36</v>
      </c>
      <c r="C31" s="6" t="s">
        <v>37</v>
      </c>
      <c r="D31" s="6" t="s">
        <v>38</v>
      </c>
      <c r="E31" s="18"/>
      <c r="F31" s="18"/>
      <c r="G31" s="18"/>
      <c r="H31" s="18"/>
      <c r="I31" s="18"/>
      <c r="J31" s="18"/>
    </row>
    <row r="32" spans="1:10" ht="18" customHeight="1" x14ac:dyDescent="0.3">
      <c r="A32" s="15" t="s">
        <v>39</v>
      </c>
      <c r="B32" s="19" t="s">
        <v>40</v>
      </c>
      <c r="C32" s="8">
        <v>215</v>
      </c>
      <c r="D32" s="9">
        <v>155.25</v>
      </c>
      <c r="E32" s="20"/>
      <c r="F32" s="20"/>
      <c r="G32" s="20"/>
      <c r="H32" s="20"/>
      <c r="I32" s="20"/>
      <c r="J32" s="20"/>
    </row>
    <row r="33" spans="1:10" ht="18" customHeight="1" x14ac:dyDescent="0.3">
      <c r="A33" s="21" t="s">
        <v>41</v>
      </c>
      <c r="B33" s="22" t="s">
        <v>42</v>
      </c>
      <c r="C33" s="8">
        <v>65</v>
      </c>
      <c r="D33" s="9">
        <v>31.05</v>
      </c>
      <c r="E33" s="23"/>
      <c r="F33" s="23"/>
      <c r="G33" s="23"/>
      <c r="H33" s="23"/>
      <c r="I33" s="23"/>
      <c r="J33" s="23"/>
    </row>
    <row r="34" spans="1:10" ht="18" customHeight="1" x14ac:dyDescent="0.3">
      <c r="A34" s="15" t="s">
        <v>41</v>
      </c>
      <c r="B34" s="19" t="s">
        <v>40</v>
      </c>
      <c r="C34" s="8">
        <v>95</v>
      </c>
      <c r="D34" s="9">
        <v>52.65</v>
      </c>
      <c r="E34" s="20"/>
      <c r="F34" s="20"/>
      <c r="G34" s="20"/>
      <c r="H34" s="20"/>
      <c r="I34" s="20"/>
      <c r="J34" s="20"/>
    </row>
    <row r="35" spans="1:10" ht="18" customHeight="1" x14ac:dyDescent="0.3">
      <c r="A35" s="21" t="s">
        <v>43</v>
      </c>
      <c r="B35" s="22"/>
      <c r="C35" s="8">
        <v>155</v>
      </c>
      <c r="D35" s="9">
        <v>116.1</v>
      </c>
      <c r="E35" s="23"/>
      <c r="F35" s="23"/>
      <c r="G35" s="23"/>
      <c r="H35" s="23"/>
      <c r="I35" s="23"/>
      <c r="J35" s="23"/>
    </row>
    <row r="36" spans="1:10" ht="18" customHeight="1" x14ac:dyDescent="0.3">
      <c r="A36" s="15" t="s">
        <v>44</v>
      </c>
      <c r="B36" s="19" t="s">
        <v>40</v>
      </c>
      <c r="C36" s="8">
        <v>185</v>
      </c>
      <c r="D36" s="9">
        <v>120.15</v>
      </c>
      <c r="E36" s="20"/>
      <c r="F36" s="20"/>
      <c r="G36" s="20"/>
      <c r="H36" s="20"/>
      <c r="I36" s="20"/>
      <c r="J36" s="20"/>
    </row>
    <row r="37" spans="1:10" ht="18" customHeight="1" x14ac:dyDescent="0.3">
      <c r="A37" s="21" t="s">
        <v>45</v>
      </c>
      <c r="B37" s="22" t="s">
        <v>46</v>
      </c>
      <c r="C37" s="8">
        <v>275</v>
      </c>
      <c r="D37" s="9">
        <v>211.95</v>
      </c>
      <c r="E37" s="23"/>
      <c r="F37" s="23"/>
      <c r="G37" s="23"/>
      <c r="H37" s="23"/>
      <c r="I37" s="23"/>
      <c r="J37" s="23"/>
    </row>
    <row r="38" spans="1:10" ht="18" customHeight="1" x14ac:dyDescent="0.3">
      <c r="A38" s="15" t="s">
        <v>47</v>
      </c>
      <c r="B38" s="19"/>
      <c r="C38" s="8">
        <v>190</v>
      </c>
      <c r="D38" s="9">
        <v>141.75</v>
      </c>
      <c r="E38" s="20"/>
      <c r="F38" s="20"/>
      <c r="G38" s="20"/>
      <c r="H38" s="20"/>
      <c r="I38" s="20"/>
      <c r="J38" s="20"/>
    </row>
    <row r="39" spans="1:10" ht="18" customHeight="1" x14ac:dyDescent="0.3">
      <c r="A39" s="21" t="s">
        <v>48</v>
      </c>
      <c r="B39" s="22"/>
      <c r="C39" s="8">
        <v>30</v>
      </c>
      <c r="D39" s="9">
        <v>20.25</v>
      </c>
      <c r="E39" s="23"/>
      <c r="F39" s="23"/>
      <c r="G39" s="23"/>
      <c r="H39" s="23"/>
      <c r="I39" s="23"/>
      <c r="J39" s="23"/>
    </row>
    <row r="40" spans="1:10" ht="18" customHeight="1" x14ac:dyDescent="0.3">
      <c r="A40" s="15" t="s">
        <v>49</v>
      </c>
      <c r="B40" s="19" t="s">
        <v>50</v>
      </c>
      <c r="C40" s="8">
        <v>475</v>
      </c>
      <c r="D40" s="9">
        <v>391.5</v>
      </c>
      <c r="E40" s="20"/>
      <c r="F40" s="20"/>
      <c r="G40" s="20"/>
      <c r="H40" s="20"/>
      <c r="I40" s="20"/>
      <c r="J40" s="20"/>
    </row>
    <row r="41" spans="1:10" ht="18" customHeight="1" x14ac:dyDescent="0.3">
      <c r="A41" s="21" t="s">
        <v>51</v>
      </c>
      <c r="B41" s="22" t="s">
        <v>52</v>
      </c>
      <c r="C41" s="8">
        <v>140</v>
      </c>
      <c r="D41" s="9">
        <v>66.150000000000006</v>
      </c>
      <c r="E41" s="23"/>
      <c r="F41" s="23"/>
      <c r="G41" s="23"/>
      <c r="H41" s="23"/>
      <c r="I41" s="23"/>
      <c r="J41" s="23"/>
    </row>
    <row r="42" spans="1:10" ht="18" customHeight="1" x14ac:dyDescent="0.3">
      <c r="A42" s="15" t="s">
        <v>53</v>
      </c>
      <c r="B42" s="19" t="s">
        <v>54</v>
      </c>
      <c r="C42" s="8">
        <v>145</v>
      </c>
      <c r="D42" s="9">
        <v>60.75</v>
      </c>
      <c r="E42" s="20"/>
      <c r="F42" s="20"/>
      <c r="G42" s="20"/>
      <c r="H42" s="20"/>
      <c r="I42" s="20"/>
      <c r="J42" s="20"/>
    </row>
    <row r="43" spans="1:10" ht="18" customHeight="1" x14ac:dyDescent="0.3">
      <c r="A43" s="21" t="s">
        <v>53</v>
      </c>
      <c r="B43" s="22" t="s">
        <v>55</v>
      </c>
      <c r="C43" s="8">
        <v>190</v>
      </c>
      <c r="D43" s="9">
        <v>120.15</v>
      </c>
      <c r="E43" s="23"/>
      <c r="F43" s="23"/>
      <c r="G43" s="23"/>
      <c r="H43" s="23"/>
      <c r="I43" s="23"/>
      <c r="J43" s="23"/>
    </row>
    <row r="44" spans="1:10" ht="18" customHeight="1" x14ac:dyDescent="0.3">
      <c r="A44" s="15" t="s">
        <v>53</v>
      </c>
      <c r="B44" s="19" t="s">
        <v>56</v>
      </c>
      <c r="C44" s="8">
        <v>275</v>
      </c>
      <c r="D44" s="9">
        <v>199.8</v>
      </c>
      <c r="E44" s="20"/>
      <c r="F44" s="20"/>
      <c r="G44" s="20"/>
      <c r="H44" s="20"/>
      <c r="I44" s="20"/>
      <c r="J44" s="20"/>
    </row>
    <row r="45" spans="1:10" ht="18" customHeight="1" x14ac:dyDescent="0.3">
      <c r="A45" s="21" t="s">
        <v>57</v>
      </c>
      <c r="B45" s="22" t="s">
        <v>58</v>
      </c>
      <c r="C45" s="8">
        <v>620</v>
      </c>
      <c r="D45" s="9">
        <v>395.55</v>
      </c>
      <c r="E45" s="23"/>
      <c r="F45" s="23"/>
      <c r="G45" s="23"/>
      <c r="H45" s="23"/>
      <c r="I45" s="23"/>
      <c r="J45" s="23"/>
    </row>
    <row r="46" spans="1:10" ht="18" customHeight="1" x14ac:dyDescent="0.3">
      <c r="A46" s="15" t="s">
        <v>59</v>
      </c>
      <c r="B46" s="19" t="s">
        <v>40</v>
      </c>
      <c r="C46" s="8">
        <v>225</v>
      </c>
      <c r="D46" s="9">
        <v>175.5</v>
      </c>
      <c r="E46" s="20"/>
      <c r="F46" s="20"/>
      <c r="G46" s="20"/>
      <c r="H46" s="20"/>
      <c r="I46" s="20"/>
      <c r="J46" s="20"/>
    </row>
    <row r="47" spans="1:10" ht="18" customHeight="1" x14ac:dyDescent="0.3">
      <c r="A47" s="21" t="s">
        <v>60</v>
      </c>
      <c r="B47" s="22" t="s">
        <v>61</v>
      </c>
      <c r="C47" s="8">
        <v>345</v>
      </c>
      <c r="D47" s="9">
        <v>302.39999999999998</v>
      </c>
      <c r="E47" s="23"/>
      <c r="F47" s="23"/>
      <c r="G47" s="23"/>
      <c r="H47" s="23"/>
      <c r="I47" s="23"/>
      <c r="J47" s="23"/>
    </row>
    <row r="48" spans="1:10" ht="18" customHeight="1" x14ac:dyDescent="0.3">
      <c r="A48" s="15" t="s">
        <v>62</v>
      </c>
      <c r="B48" s="19" t="s">
        <v>40</v>
      </c>
      <c r="C48" s="8">
        <v>158</v>
      </c>
      <c r="D48" s="9">
        <v>91.8</v>
      </c>
      <c r="E48" s="20"/>
      <c r="F48" s="20"/>
      <c r="G48" s="20"/>
      <c r="H48" s="20"/>
      <c r="I48" s="20"/>
      <c r="J48" s="20"/>
    </row>
    <row r="49" spans="1:10" ht="18" customHeight="1" x14ac:dyDescent="0.3">
      <c r="A49" s="21" t="s">
        <v>63</v>
      </c>
      <c r="B49" s="22" t="s">
        <v>40</v>
      </c>
      <c r="C49" s="8">
        <v>198</v>
      </c>
      <c r="D49" s="9">
        <v>132.30000000000001</v>
      </c>
      <c r="E49" s="23"/>
      <c r="F49" s="23"/>
      <c r="G49" s="23"/>
      <c r="H49" s="23"/>
      <c r="I49" s="23"/>
      <c r="J49" s="23"/>
    </row>
    <row r="50" spans="1:10" ht="18" customHeight="1" x14ac:dyDescent="0.3">
      <c r="A50" s="15" t="s">
        <v>64</v>
      </c>
      <c r="B50" s="19"/>
      <c r="C50" s="8">
        <v>235</v>
      </c>
      <c r="D50" s="9">
        <v>195.75</v>
      </c>
      <c r="E50" s="20"/>
      <c r="F50" s="20"/>
      <c r="G50" s="20"/>
      <c r="H50" s="20"/>
      <c r="I50" s="20"/>
      <c r="J50" s="20"/>
    </row>
    <row r="51" spans="1:10" ht="18" customHeight="1" x14ac:dyDescent="0.3">
      <c r="A51" s="21" t="s">
        <v>65</v>
      </c>
      <c r="B51" s="22" t="s">
        <v>66</v>
      </c>
      <c r="C51" s="8">
        <v>550</v>
      </c>
      <c r="D51" s="9">
        <v>463.05</v>
      </c>
      <c r="E51" s="23"/>
      <c r="F51" s="23"/>
      <c r="G51" s="23"/>
      <c r="H51" s="23"/>
      <c r="I51" s="23"/>
      <c r="J51" s="23"/>
    </row>
    <row r="52" spans="1:10" ht="18" customHeight="1" x14ac:dyDescent="0.3">
      <c r="A52" s="15" t="s">
        <v>67</v>
      </c>
      <c r="B52" s="19" t="s">
        <v>68</v>
      </c>
      <c r="C52" s="8">
        <v>620</v>
      </c>
      <c r="D52" s="9">
        <v>598.04999999999995</v>
      </c>
      <c r="E52" s="20"/>
      <c r="F52" s="20"/>
      <c r="G52" s="20"/>
      <c r="H52" s="20"/>
      <c r="I52" s="20"/>
      <c r="J52" s="20"/>
    </row>
    <row r="53" spans="1:10" ht="18" customHeight="1" x14ac:dyDescent="0.3">
      <c r="A53" s="21" t="s">
        <v>69</v>
      </c>
      <c r="B53" s="22"/>
      <c r="C53" s="8">
        <v>425</v>
      </c>
      <c r="D53" s="9">
        <v>384.75</v>
      </c>
      <c r="E53" s="23"/>
      <c r="F53" s="23"/>
      <c r="G53" s="23"/>
      <c r="H53" s="23"/>
      <c r="I53" s="23"/>
      <c r="J53" s="23"/>
    </row>
    <row r="54" spans="1:10" ht="18" customHeight="1" x14ac:dyDescent="0.3">
      <c r="A54" s="15" t="s">
        <v>70</v>
      </c>
      <c r="B54" s="19" t="s">
        <v>40</v>
      </c>
      <c r="C54" s="8">
        <v>155</v>
      </c>
      <c r="D54" s="9">
        <v>97.2</v>
      </c>
      <c r="E54" s="20"/>
      <c r="F54" s="20"/>
      <c r="G54" s="20"/>
      <c r="H54" s="20"/>
      <c r="I54" s="20"/>
      <c r="J54" s="20"/>
    </row>
    <row r="55" spans="1:10" ht="18" customHeight="1" x14ac:dyDescent="0.3">
      <c r="A55" s="21" t="s">
        <v>71</v>
      </c>
      <c r="B55" s="22" t="s">
        <v>40</v>
      </c>
      <c r="C55" s="8">
        <v>195</v>
      </c>
      <c r="D55" s="9">
        <v>122.85</v>
      </c>
      <c r="E55" s="23"/>
      <c r="F55" s="23"/>
      <c r="G55" s="23"/>
      <c r="H55" s="23"/>
      <c r="I55" s="23"/>
      <c r="J55" s="23"/>
    </row>
    <row r="56" spans="1:10" ht="18" customHeight="1" x14ac:dyDescent="0.3">
      <c r="A56" s="15" t="s">
        <v>72</v>
      </c>
      <c r="B56" s="19" t="s">
        <v>40</v>
      </c>
      <c r="C56" s="8">
        <v>175</v>
      </c>
      <c r="D56" s="9">
        <v>97.2</v>
      </c>
      <c r="E56" s="20"/>
      <c r="F56" s="20"/>
      <c r="G56" s="20"/>
      <c r="H56" s="20"/>
      <c r="I56" s="20"/>
      <c r="J56" s="20"/>
    </row>
    <row r="57" spans="1:10" ht="18" customHeight="1" x14ac:dyDescent="0.3">
      <c r="A57" s="21" t="s">
        <v>73</v>
      </c>
      <c r="B57" s="22" t="s">
        <v>74</v>
      </c>
      <c r="C57" s="8">
        <v>155</v>
      </c>
      <c r="D57" s="9">
        <v>79.650000000000006</v>
      </c>
      <c r="E57" s="23"/>
      <c r="F57" s="23"/>
      <c r="G57" s="23"/>
      <c r="H57" s="23"/>
      <c r="I57" s="23"/>
      <c r="J57" s="23"/>
    </row>
    <row r="58" spans="1:10" ht="6.05" customHeight="1" x14ac:dyDescent="0.3"/>
    <row r="59" spans="1:10" ht="20" customHeight="1" x14ac:dyDescent="0.3">
      <c r="A59" s="31" t="s">
        <v>75</v>
      </c>
      <c r="B59" s="25"/>
      <c r="C59" s="25"/>
      <c r="D59" s="25"/>
      <c r="E59" s="25"/>
      <c r="F59" s="25"/>
      <c r="G59" s="25"/>
      <c r="H59" s="25"/>
      <c r="I59" s="25"/>
      <c r="J59" s="25"/>
    </row>
  </sheetData>
  <mergeCells count="19">
    <mergeCell ref="A30:J30"/>
    <mergeCell ref="A17:C17"/>
    <mergeCell ref="A59:J59"/>
    <mergeCell ref="A20:C20"/>
    <mergeCell ref="A11:J11"/>
    <mergeCell ref="A28:C28"/>
    <mergeCell ref="A25:C25"/>
    <mergeCell ref="A22:J22"/>
    <mergeCell ref="A18:C18"/>
    <mergeCell ref="A27:C27"/>
    <mergeCell ref="A26:C26"/>
    <mergeCell ref="A14:C14"/>
    <mergeCell ref="A1:J1"/>
    <mergeCell ref="A19:C19"/>
    <mergeCell ref="A15:C15"/>
    <mergeCell ref="A24:C24"/>
    <mergeCell ref="A2:J2"/>
    <mergeCell ref="A16:C16"/>
    <mergeCell ref="A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AlertPro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Chahrouri</cp:lastModifiedBy>
  <dcterms:created xsi:type="dcterms:W3CDTF">2026-03-12T01:48:44Z</dcterms:created>
  <dcterms:modified xsi:type="dcterms:W3CDTF">2026-03-12T04:10:58Z</dcterms:modified>
</cp:coreProperties>
</file>