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Pro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6B7280"/>
      <sz val="9"/>
    </font>
    <font>
      <name val="Arial"/>
      <b val="1"/>
      <color rgb="001A1D23"/>
      <sz val="10"/>
    </font>
    <font>
      <name val="Arial"/>
      <b val="1"/>
      <color rgb="001D4ED8"/>
      <sz val="10"/>
    </font>
    <font>
      <name val="Arial"/>
      <b val="1"/>
      <color rgb="00C8202A"/>
      <sz val="10"/>
    </font>
    <font>
      <name val="Arial"/>
      <b val="1"/>
      <color rgb="00B45309"/>
      <sz val="10"/>
    </font>
    <font>
      <name val="Arial"/>
      <color rgb="001A1D23"/>
      <sz val="10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C8202A"/>
      </patternFill>
    </fill>
    <fill>
      <patternFill patternType="solid">
        <fgColor rgb="00F8F9FB"/>
      </patternFill>
    </fill>
    <fill>
      <patternFill patternType="solid">
        <fgColor rgb="001A1D23"/>
      </patternFill>
    </fill>
    <fill>
      <patternFill patternType="solid">
        <fgColor rgb="00FFFFF0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/>
      <right/>
      <top style="thin">
        <color rgb="00DDE1E8"/>
      </top>
      <bottom style="thin">
        <color rgb="00DDE1E8"/>
      </bottom>
    </border>
    <border>
      <left style="thin">
        <color rgb="00DDE1E8"/>
      </left>
      <right style="thin">
        <color rgb="00DDE1E8"/>
      </right>
      <top style="thin">
        <color rgb="00DDE1E8"/>
      </top>
      <bottom style="thin">
        <color rgb="00DDE1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5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5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ALERT PRO — PRICING TEMPLATE</t>
        </is>
      </c>
    </row>
    <row r="2" ht="18" customHeight="1">
      <c r="A2" s="2" t="inlineStr">
        <is>
          <t>Yellow cells = editable inputs   |   All other cells calculate automatically</t>
        </is>
      </c>
    </row>
    <row r="3" ht="8" customHeight="1"/>
    <row r="4" ht="22" customHeight="1">
      <c r="A4" s="3" t="inlineStr">
        <is>
          <t xml:space="preserve">  SECTION 1 — BASE SYSTEM ITEMS (Agent-Facing Cost)</t>
        </is>
      </c>
    </row>
    <row r="5" ht="18" customHeight="1">
      <c r="A5" s="4" t="inlineStr">
        <is>
          <t>Item</t>
        </is>
      </c>
      <c r="B5" s="5" t="inlineStr">
        <is>
          <t>MSRP</t>
        </is>
      </c>
      <c r="C5" s="5" t="inlineStr">
        <is>
          <t>Your Cost (Agent Pays)</t>
        </is>
      </c>
      <c r="D5" s="5" t="inlineStr"/>
      <c r="E5" s="5" t="inlineStr"/>
      <c r="F5" s="5" t="inlineStr"/>
      <c r="G5" s="5" t="inlineStr"/>
    </row>
    <row r="6" ht="18" customHeight="1">
      <c r="A6" s="6" t="inlineStr">
        <is>
          <t>IQ 4 Panel w/ 4K Keypad Camera, Siren, GSM</t>
        </is>
      </c>
      <c r="B6" s="7" t="n">
        <v>850</v>
      </c>
      <c r="C6" s="8" t="n">
        <v>533.25</v>
      </c>
    </row>
    <row r="7" ht="18" customHeight="1">
      <c r="A7" s="6" t="inlineStr">
        <is>
          <t>Door Contact — Long Range (×2)</t>
        </is>
      </c>
      <c r="B7" s="7" t="n">
        <v>130</v>
      </c>
      <c r="C7" s="8" t="n">
        <v>105.3</v>
      </c>
    </row>
    <row r="8" ht="18" customHeight="1">
      <c r="A8" s="6" t="inlineStr">
        <is>
          <t>Motion Sensor — Long Range</t>
        </is>
      </c>
      <c r="B8" s="7" t="n">
        <v>190</v>
      </c>
      <c r="C8" s="8" t="n">
        <v>120.15</v>
      </c>
    </row>
    <row r="9" ht="18" customHeight="1">
      <c r="A9" s="6" t="inlineStr">
        <is>
          <t>Smart Plug</t>
        </is>
      </c>
      <c r="B9" s="7" t="n">
        <v>60</v>
      </c>
      <c r="C9" s="8" t="n">
        <v>59.39</v>
      </c>
    </row>
    <row r="10" ht="18" customHeight="1">
      <c r="A10" s="6" t="inlineStr">
        <is>
          <t>Indoor Camera (Easy Installation)</t>
        </is>
      </c>
      <c r="B10" s="7" t="n">
        <v>350</v>
      </c>
      <c r="C10" s="8" t="n">
        <v>211.95</v>
      </c>
    </row>
    <row r="11" ht="8" customHeight="1"/>
    <row r="12" ht="22" customHeight="1">
      <c r="A12" s="3" t="inlineStr">
        <is>
          <t xml:space="preserve">  SECTION 2 — MONITORING PACKAGES</t>
        </is>
      </c>
    </row>
    <row r="13" ht="18" customHeight="1">
      <c r="A13" s="4" t="inlineStr">
        <is>
          <t>Package</t>
        </is>
      </c>
      <c r="B13" s="5" t="inlineStr">
        <is>
          <t>Term</t>
        </is>
      </c>
      <c r="C13" s="5" t="inlineStr">
        <is>
          <t>Monthly Rate</t>
        </is>
      </c>
      <c r="D13" s="5" t="inlineStr">
        <is>
          <t>Multiple</t>
        </is>
      </c>
      <c r="E13" s="5" t="inlineStr">
        <is>
          <t>Suggested Install</t>
        </is>
      </c>
      <c r="F13" s="5" t="inlineStr">
        <is>
          <t>Base Cost (w/HST)</t>
        </is>
      </c>
      <c r="G13" s="5" t="inlineStr">
        <is>
          <t>Net Funding</t>
        </is>
      </c>
    </row>
    <row r="14" ht="20" customHeight="1">
      <c r="A14" s="9" t="inlineStr">
        <is>
          <t>Resi Secure</t>
        </is>
      </c>
      <c r="B14" s="10" t="inlineStr">
        <is>
          <t>5 Year</t>
        </is>
      </c>
      <c r="C14" s="11" t="n">
        <v>45</v>
      </c>
      <c r="D14" s="12" t="n">
        <v>23</v>
      </c>
      <c r="E14" s="11" t="n">
        <v>199</v>
      </c>
      <c r="F14" s="13">
        <f>ROUND((C6+C7+C8+E14)*1.13,2)</f>
        <v/>
      </c>
      <c r="G14" s="14">
        <f>ROUND(C14*D14+E14-F14,2)</f>
        <v/>
      </c>
    </row>
    <row r="15" ht="20" customHeight="1">
      <c r="A15" s="15" t="inlineStr">
        <is>
          <t>Resi Secure</t>
        </is>
      </c>
      <c r="B15" s="16" t="inlineStr">
        <is>
          <t>3 Year</t>
        </is>
      </c>
      <c r="C15" s="11" t="n">
        <v>50</v>
      </c>
      <c r="D15" s="12" t="n">
        <v>17</v>
      </c>
      <c r="E15" s="11" t="n">
        <v>199</v>
      </c>
      <c r="F15" s="13">
        <f>ROUND((C6+C7+C8+E15)*1.13,2)</f>
        <v/>
      </c>
      <c r="G15" s="14">
        <f>ROUND(C15*D15+E15-F15,2)</f>
        <v/>
      </c>
    </row>
    <row r="16" ht="20" customHeight="1">
      <c r="A16" s="9" t="inlineStr">
        <is>
          <t>Resi Secure + Video</t>
        </is>
      </c>
      <c r="B16" s="10" t="inlineStr">
        <is>
          <t>5 Year</t>
        </is>
      </c>
      <c r="C16" s="11" t="n">
        <v>55</v>
      </c>
      <c r="D16" s="12" t="n">
        <v>26</v>
      </c>
      <c r="E16" s="11" t="n">
        <v>249</v>
      </c>
      <c r="F16" s="13">
        <f>ROUND((C6+C7+C8+C10+E16)*1.13,2)</f>
        <v/>
      </c>
      <c r="G16" s="14">
        <f>ROUND(C16*D16+E16-F16,2)</f>
        <v/>
      </c>
    </row>
    <row r="17" ht="20" customHeight="1">
      <c r="A17" s="15" t="inlineStr">
        <is>
          <t>Resi Secure + Video</t>
        </is>
      </c>
      <c r="B17" s="16" t="inlineStr">
        <is>
          <t>3 Year</t>
        </is>
      </c>
      <c r="C17" s="11" t="n">
        <v>60</v>
      </c>
      <c r="D17" s="12" t="n">
        <v>20</v>
      </c>
      <c r="E17" s="11" t="n">
        <v>249</v>
      </c>
      <c r="F17" s="13">
        <f>ROUND((C6+C7+C8+C10+E17)*1.13,2)</f>
        <v/>
      </c>
      <c r="G17" s="14">
        <f>ROUND(C17*D17+E17-F17,2)</f>
        <v/>
      </c>
    </row>
    <row r="18" ht="20" customHeight="1">
      <c r="A18" s="9" t="inlineStr">
        <is>
          <t>Video + Automation</t>
        </is>
      </c>
      <c r="B18" s="10" t="inlineStr">
        <is>
          <t>5 Year</t>
        </is>
      </c>
      <c r="C18" s="11" t="n">
        <v>62</v>
      </c>
      <c r="D18" s="12" t="n">
        <v>26</v>
      </c>
      <c r="E18" s="11" t="n">
        <v>299</v>
      </c>
      <c r="F18" s="13">
        <f>ROUND((C6+C7+C8+C9+C10+E18)*1.13,2)</f>
        <v/>
      </c>
      <c r="G18" s="14">
        <f>ROUND(C18*D18+E18-F18,2)</f>
        <v/>
      </c>
    </row>
    <row r="19" ht="20" customHeight="1">
      <c r="A19" s="15" t="inlineStr">
        <is>
          <t>Video + Automation</t>
        </is>
      </c>
      <c r="B19" s="16" t="inlineStr">
        <is>
          <t>3 Year</t>
        </is>
      </c>
      <c r="C19" s="11" t="n">
        <v>67</v>
      </c>
      <c r="D19" s="12" t="n">
        <v>20</v>
      </c>
      <c r="E19" s="11" t="n">
        <v>299</v>
      </c>
      <c r="F19" s="13">
        <f>ROUND((C6+C7+C8+C9+C10+E19)*1.13,2)</f>
        <v/>
      </c>
      <c r="G19" s="14">
        <f>ROUND(C19*D19+E19-F19,2)</f>
        <v/>
      </c>
    </row>
    <row r="20" ht="20" customHeight="1">
      <c r="A20" s="15" t="inlineStr">
        <is>
          <t>Commercial</t>
        </is>
      </c>
      <c r="B20" s="16" t="inlineStr">
        <is>
          <t>3 Year</t>
        </is>
      </c>
      <c r="C20" s="11" t="n">
        <v>45</v>
      </c>
      <c r="D20" s="12" t="n">
        <v>19</v>
      </c>
      <c r="E20" s="11" t="n">
        <v>399</v>
      </c>
      <c r="F20" s="13">
        <f>ROUND((C6+C7+C8+C10+E20)*1.13,2)</f>
        <v/>
      </c>
      <c r="G20" s="14">
        <f>ROUND(C20*D20+E20-F20,2)</f>
        <v/>
      </c>
    </row>
    <row r="21" ht="8" customHeight="1"/>
    <row r="22" ht="22" customHeight="1">
      <c r="A22" s="3" t="inlineStr">
        <is>
          <t xml:space="preserve">  SECTION 3 — ADD-ON HARDWARE</t>
        </is>
      </c>
    </row>
    <row r="23" ht="18" customHeight="1">
      <c r="A23" s="4" t="inlineStr">
        <is>
          <t>Item</t>
        </is>
      </c>
      <c r="B23" s="4" t="inlineStr">
        <is>
          <t>Note</t>
        </is>
      </c>
      <c r="C23" s="5" t="inlineStr">
        <is>
          <t>MSRP (Ceiling)</t>
        </is>
      </c>
      <c r="D23" s="5" t="inlineStr">
        <is>
          <t>Agent Cost</t>
        </is>
      </c>
      <c r="E23" s="5" t="inlineStr"/>
      <c r="F23" s="5" t="inlineStr"/>
      <c r="G23" s="5" t="inlineStr"/>
    </row>
    <row r="24" ht="18" customHeight="1">
      <c r="A24" s="15" t="inlineStr">
        <is>
          <t>Carbon Monoxide Detector (Wireless)</t>
        </is>
      </c>
      <c r="B24" s="17" t="inlineStr">
        <is>
          <t>Long Range</t>
        </is>
      </c>
      <c r="C24" s="7" t="n">
        <v>215</v>
      </c>
      <c r="D24" s="8" t="n">
        <v>155.25</v>
      </c>
      <c r="E24" s="18" t="n"/>
      <c r="F24" s="18" t="n"/>
      <c r="G24" s="18" t="n"/>
    </row>
    <row r="25" ht="18" customHeight="1">
      <c r="A25" s="19" t="inlineStr">
        <is>
          <t>Door/Window Contact (Wireless)</t>
        </is>
      </c>
      <c r="B25" s="20" t="inlineStr">
        <is>
          <t>Regular Range</t>
        </is>
      </c>
      <c r="C25" s="7" t="n">
        <v>65</v>
      </c>
      <c r="D25" s="8" t="n">
        <v>31.05</v>
      </c>
      <c r="E25" s="21" t="n"/>
      <c r="F25" s="21" t="n"/>
      <c r="G25" s="21" t="n"/>
    </row>
    <row r="26" ht="18" customHeight="1">
      <c r="A26" s="15" t="inlineStr">
        <is>
          <t>Door/Window Contact (Wireless)</t>
        </is>
      </c>
      <c r="B26" s="17" t="inlineStr">
        <is>
          <t>Long Range</t>
        </is>
      </c>
      <c r="C26" s="7" t="n">
        <v>95</v>
      </c>
      <c r="D26" s="8" t="n">
        <v>52.65</v>
      </c>
      <c r="E26" s="18" t="n"/>
      <c r="F26" s="18" t="n"/>
      <c r="G26" s="18" t="n"/>
    </row>
    <row r="27" ht="18" customHeight="1">
      <c r="A27" s="19" t="inlineStr">
        <is>
          <t>Flood Detector (Wireless)</t>
        </is>
      </c>
      <c r="B27" s="20" t="inlineStr"/>
      <c r="C27" s="7" t="n">
        <v>155</v>
      </c>
      <c r="D27" s="8" t="n">
        <v>116.1</v>
      </c>
      <c r="E27" s="21" t="n"/>
      <c r="F27" s="21" t="n"/>
      <c r="G27" s="21" t="n"/>
    </row>
    <row r="28" ht="18" customHeight="1">
      <c r="A28" s="15" t="inlineStr">
        <is>
          <t>Glassbreak Detector (Wireless)</t>
        </is>
      </c>
      <c r="B28" s="17" t="inlineStr">
        <is>
          <t>Long Range</t>
        </is>
      </c>
      <c r="C28" s="7" t="n">
        <v>185</v>
      </c>
      <c r="D28" s="8" t="n">
        <v>120.15</v>
      </c>
      <c r="E28" s="18" t="n"/>
      <c r="F28" s="18" t="n"/>
      <c r="G28" s="18" t="n"/>
    </row>
    <row r="29" ht="18" customHeight="1">
      <c r="A29" s="19" t="inlineStr">
        <is>
          <t>Indoor Portable Camera</t>
        </is>
      </c>
      <c r="B29" s="20" t="inlineStr">
        <is>
          <t>Residential / Commercial</t>
        </is>
      </c>
      <c r="C29" s="7" t="n">
        <v>275</v>
      </c>
      <c r="D29" s="8" t="n">
        <v>211.95</v>
      </c>
      <c r="E29" s="21" t="n"/>
      <c r="F29" s="21" t="n"/>
      <c r="G29" s="21" t="n"/>
    </row>
    <row r="30" ht="18" customHeight="1">
      <c r="A30" s="15" t="inlineStr">
        <is>
          <t>Indoor Siren with Strobe Light</t>
        </is>
      </c>
      <c r="B30" s="17" t="inlineStr"/>
      <c r="C30" s="7" t="n">
        <v>190</v>
      </c>
      <c r="D30" s="8" t="n">
        <v>141.75</v>
      </c>
      <c r="E30" s="18" t="n"/>
      <c r="F30" s="18" t="n"/>
      <c r="G30" s="18" t="n"/>
    </row>
    <row r="31" ht="18" customHeight="1">
      <c r="A31" s="19" t="inlineStr">
        <is>
          <t>IQ4 Table Stand</t>
        </is>
      </c>
      <c r="B31" s="20" t="inlineStr"/>
      <c r="C31" s="7" t="n">
        <v>30</v>
      </c>
      <c r="D31" s="8" t="n">
        <v>20.25</v>
      </c>
      <c r="E31" s="21" t="n"/>
      <c r="F31" s="21" t="n"/>
      <c r="G31" s="21" t="n"/>
    </row>
    <row r="32" ht="18" customHeight="1">
      <c r="A32" s="15" t="inlineStr">
        <is>
          <t>IQ Remote Touch Screen Keypad</t>
        </is>
      </c>
      <c r="B32" s="17" t="inlineStr">
        <is>
          <t>7 inch</t>
        </is>
      </c>
      <c r="C32" s="7" t="n">
        <v>475</v>
      </c>
      <c r="D32" s="8" t="n">
        <v>391.5</v>
      </c>
      <c r="E32" s="18" t="n"/>
      <c r="F32" s="18" t="n"/>
      <c r="G32" s="18" t="n"/>
    </row>
    <row r="33" ht="18" customHeight="1">
      <c r="A33" s="19" t="inlineStr">
        <is>
          <t>Keyfob 4-Button (Wireless PG)</t>
        </is>
      </c>
      <c r="B33" s="20" t="inlineStr">
        <is>
          <t>Arm/Disarm/Stay/Panic</t>
        </is>
      </c>
      <c r="C33" s="7" t="n">
        <v>140</v>
      </c>
      <c r="D33" s="8" t="n">
        <v>66.15000000000001</v>
      </c>
      <c r="E33" s="21" t="n"/>
      <c r="F33" s="21" t="n"/>
      <c r="G33" s="21" t="n"/>
    </row>
    <row r="34" ht="18" customHeight="1">
      <c r="A34" s="15" t="inlineStr">
        <is>
          <t>Motion Sensor (Wireless)</t>
        </is>
      </c>
      <c r="B34" s="17" t="inlineStr">
        <is>
          <t>Pet Immune 40lbs / Reg</t>
        </is>
      </c>
      <c r="C34" s="7" t="n">
        <v>145</v>
      </c>
      <c r="D34" s="8" t="n">
        <v>60.75</v>
      </c>
      <c r="E34" s="18" t="n"/>
      <c r="F34" s="18" t="n"/>
      <c r="G34" s="18" t="n"/>
    </row>
    <row r="35" ht="18" customHeight="1">
      <c r="A35" s="19" t="inlineStr">
        <is>
          <t>Motion Sensor (Wireless)</t>
        </is>
      </c>
      <c r="B35" s="20" t="inlineStr">
        <is>
          <t>Pet Immune 80lbs / Long</t>
        </is>
      </c>
      <c r="C35" s="7" t="n">
        <v>190</v>
      </c>
      <c r="D35" s="8" t="n">
        <v>120.15</v>
      </c>
      <c r="E35" s="21" t="n"/>
      <c r="F35" s="21" t="n"/>
      <c r="G35" s="21" t="n"/>
    </row>
    <row r="36" ht="18" customHeight="1">
      <c r="A36" s="15" t="inlineStr">
        <is>
          <t>Motion Sensor (Wireless)</t>
        </is>
      </c>
      <c r="B36" s="17" t="inlineStr">
        <is>
          <t>Ceiling Mount 360°</t>
        </is>
      </c>
      <c r="C36" s="7" t="n">
        <v>275</v>
      </c>
      <c r="D36" s="8" t="n">
        <v>199.8</v>
      </c>
      <c r="E36" s="18" t="n"/>
      <c r="F36" s="18" t="n"/>
      <c r="G36" s="18" t="n"/>
    </row>
    <row r="37" ht="18" customHeight="1">
      <c r="A37" s="19" t="inlineStr">
        <is>
          <t>Outdoor Camera Fixed WiFi</t>
        </is>
      </c>
      <c r="B37" s="20" t="inlineStr">
        <is>
          <t>Driveway / 2.4G+5G</t>
        </is>
      </c>
      <c r="C37" s="7" t="n">
        <v>620</v>
      </c>
      <c r="D37" s="8" t="n">
        <v>395.55</v>
      </c>
      <c r="E37" s="21" t="n"/>
      <c r="F37" s="21" t="n"/>
      <c r="G37" s="21" t="n"/>
    </row>
    <row r="38" ht="18" customHeight="1">
      <c r="A38" s="15" t="inlineStr">
        <is>
          <t>Outdoor Contact (Wireless)</t>
        </is>
      </c>
      <c r="B38" s="17" t="inlineStr">
        <is>
          <t>Long Range</t>
        </is>
      </c>
      <c r="C38" s="7" t="n">
        <v>225</v>
      </c>
      <c r="D38" s="8" t="n">
        <v>175.5</v>
      </c>
      <c r="E38" s="18" t="n"/>
      <c r="F38" s="18" t="n"/>
      <c r="G38" s="18" t="n"/>
    </row>
    <row r="39" ht="18" customHeight="1">
      <c r="A39" s="19" t="inlineStr">
        <is>
          <t>Outdoor Siren with Strobe Light</t>
        </is>
      </c>
      <c r="B39" s="20" t="inlineStr">
        <is>
          <t>Commercial Grade 110dB</t>
        </is>
      </c>
      <c r="C39" s="7" t="n">
        <v>345</v>
      </c>
      <c r="D39" s="8" t="n">
        <v>302.4</v>
      </c>
      <c r="E39" s="21" t="n"/>
      <c r="F39" s="21" t="n"/>
      <c r="G39" s="21" t="n"/>
    </row>
    <row r="40" ht="18" customHeight="1">
      <c r="A40" s="15" t="inlineStr">
        <is>
          <t>Panic Button (Wireless)</t>
        </is>
      </c>
      <c r="B40" s="17" t="inlineStr">
        <is>
          <t>Long Range</t>
        </is>
      </c>
      <c r="C40" s="7" t="n">
        <v>158</v>
      </c>
      <c r="D40" s="8" t="n">
        <v>91.8</v>
      </c>
      <c r="E40" s="18" t="n"/>
      <c r="F40" s="18" t="n"/>
      <c r="G40" s="18" t="n"/>
    </row>
    <row r="41" ht="18" customHeight="1">
      <c r="A41" s="19" t="inlineStr">
        <is>
          <t>Rate of Rise Heat Detector (Wireless)</t>
        </is>
      </c>
      <c r="B41" s="20" t="inlineStr">
        <is>
          <t>Long Range</t>
        </is>
      </c>
      <c r="C41" s="7" t="n">
        <v>198</v>
      </c>
      <c r="D41" s="8" t="n">
        <v>132.3</v>
      </c>
      <c r="E41" s="21" t="n"/>
      <c r="F41" s="21" t="n"/>
      <c r="G41" s="21" t="n"/>
    </row>
    <row r="42" ht="18" customHeight="1">
      <c r="A42" s="15" t="inlineStr">
        <is>
          <t>Repeater Module</t>
        </is>
      </c>
      <c r="B42" s="17" t="inlineStr"/>
      <c r="C42" s="7" t="n">
        <v>235</v>
      </c>
      <c r="D42" s="8" t="n">
        <v>195.75</v>
      </c>
      <c r="E42" s="18" t="n"/>
      <c r="F42" s="18" t="n"/>
      <c r="G42" s="18" t="n"/>
    </row>
    <row r="43" ht="18" customHeight="1">
      <c r="A43" s="19" t="inlineStr">
        <is>
          <t>Residential Outdoor Camera</t>
        </is>
      </c>
      <c r="B43" s="20" t="inlineStr">
        <is>
          <t>Easy Installation</t>
        </is>
      </c>
      <c r="C43" s="7" t="n">
        <v>550</v>
      </c>
      <c r="D43" s="8" t="n">
        <v>463.05</v>
      </c>
      <c r="E43" s="21" t="n"/>
      <c r="F43" s="21" t="n"/>
      <c r="G43" s="21" t="n"/>
    </row>
    <row r="44" ht="18" customHeight="1">
      <c r="A44" s="15" t="inlineStr">
        <is>
          <t>Residential/Commercial Outdoor Camera</t>
        </is>
      </c>
      <c r="B44" s="17" t="inlineStr">
        <is>
          <t>Pro Installation</t>
        </is>
      </c>
      <c r="C44" s="7" t="n">
        <v>620</v>
      </c>
      <c r="D44" s="8" t="n">
        <v>598.05</v>
      </c>
      <c r="E44" s="18" t="n"/>
      <c r="F44" s="18" t="n"/>
      <c r="G44" s="18" t="n"/>
    </row>
    <row r="45" ht="18" customHeight="1">
      <c r="A45" s="19" t="inlineStr">
        <is>
          <t>Residential Video Doorbell</t>
        </is>
      </c>
      <c r="B45" s="20" t="inlineStr"/>
      <c r="C45" s="7" t="n">
        <v>425</v>
      </c>
      <c r="D45" s="8" t="n">
        <v>384.75</v>
      </c>
      <c r="E45" s="21" t="n"/>
      <c r="F45" s="21" t="n"/>
      <c r="G45" s="21" t="n"/>
    </row>
    <row r="46" ht="18" customHeight="1">
      <c r="A46" s="15" t="inlineStr">
        <is>
          <t>Shock Sensor (Wireless)</t>
        </is>
      </c>
      <c r="B46" s="17" t="inlineStr">
        <is>
          <t>Long Range</t>
        </is>
      </c>
      <c r="C46" s="7" t="n">
        <v>155</v>
      </c>
      <c r="D46" s="8" t="n">
        <v>97.2</v>
      </c>
      <c r="E46" s="18" t="n"/>
      <c r="F46" s="18" t="n"/>
      <c r="G46" s="18" t="n"/>
    </row>
    <row r="47" ht="18" customHeight="1">
      <c r="A47" s="19" t="inlineStr">
        <is>
          <t>Smoke Detector (Wireless)</t>
        </is>
      </c>
      <c r="B47" s="20" t="inlineStr">
        <is>
          <t>Long Range</t>
        </is>
      </c>
      <c r="C47" s="7" t="n">
        <v>195</v>
      </c>
      <c r="D47" s="8" t="n">
        <v>122.85</v>
      </c>
      <c r="E47" s="21" t="n"/>
      <c r="F47" s="21" t="n"/>
      <c r="G47" s="21" t="n"/>
    </row>
    <row r="48" ht="18" customHeight="1">
      <c r="A48" s="15" t="inlineStr">
        <is>
          <t>Temperature Detector (Wireless)</t>
        </is>
      </c>
      <c r="B48" s="17" t="inlineStr">
        <is>
          <t>Long Range</t>
        </is>
      </c>
      <c r="C48" s="7" t="n">
        <v>175</v>
      </c>
      <c r="D48" s="8" t="n">
        <v>97.2</v>
      </c>
      <c r="E48" s="18" t="n"/>
      <c r="F48" s="18" t="n"/>
      <c r="G48" s="18" t="n"/>
    </row>
    <row r="49" ht="18" customHeight="1">
      <c r="A49" s="19" t="inlineStr">
        <is>
          <t>Tilt Sensor (Wireless)</t>
        </is>
      </c>
      <c r="B49" s="20" t="inlineStr">
        <is>
          <t>Garage Rollup Doors</t>
        </is>
      </c>
      <c r="C49" s="7" t="n">
        <v>155</v>
      </c>
      <c r="D49" s="8" t="n">
        <v>79.65000000000001</v>
      </c>
      <c r="E49" s="21" t="n"/>
      <c r="F49" s="21" t="n"/>
      <c r="G49" s="21" t="n"/>
    </row>
    <row r="50" ht="8" customHeight="1"/>
    <row r="51" ht="20" customHeight="1">
      <c r="A51" s="22" t="inlineStr">
        <is>
          <t xml:space="preserve">  🟡 Yellow cells = your inputs (type directly)    |    White cells = auto-calculated, do not edit</t>
        </is>
      </c>
    </row>
  </sheetData>
  <mergeCells count="6">
    <mergeCell ref="A1:G1"/>
    <mergeCell ref="A22:G22"/>
    <mergeCell ref="A12:G12"/>
    <mergeCell ref="A4:G4"/>
    <mergeCell ref="A2:G2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2026-03-12T01:14:19Z</dcterms:created>
  <dcterms:modified xmlns:dcterms="http://purl.org/dc/terms/" xmlns:xsi="http://www.w3.org/2001/XMLSchema-instance" xsi:type="dcterms:W3CDTF">2026-03-12T01:14:19Z</dcterms:modified>
</cp:coreProperties>
</file>